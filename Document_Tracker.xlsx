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sa\Downloads\"/>
    </mc:Choice>
  </mc:AlternateContent>
  <xr:revisionPtr revIDLastSave="0" documentId="13_ncr:1_{05CE118A-AADC-46D0-A722-CF27D8F9C63F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ocument Tracker" sheetId="1" r:id="rId1"/>
    <sheet name="Targets &amp; Legen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8" i="1" l="1"/>
  <c r="B37" i="1"/>
  <c r="B36" i="1"/>
  <c r="B35" i="1"/>
  <c r="B34" i="1"/>
</calcChain>
</file>

<file path=xl/sharedStrings.xml><?xml version="1.0" encoding="utf-8"?>
<sst xmlns="http://schemas.openxmlformats.org/spreadsheetml/2006/main" count="245" uniqueCount="96">
  <si>
    <t>Filename</t>
  </si>
  <si>
    <t>Pages</t>
  </si>
  <si>
    <t>Type (Text/Scanned)</t>
  </si>
  <si>
    <t>Has Table?</t>
  </si>
  <si>
    <t>Has Alarm/Fault Table?</t>
  </si>
  <si>
    <t>Has Wiring Diagram?</t>
  </si>
  <si>
    <t>Has Picture/Drawing?</t>
  </si>
  <si>
    <t>Category/Equipment Type</t>
  </si>
  <si>
    <t>1.pdf</t>
  </si>
  <si>
    <t>Scanned</t>
  </si>
  <si>
    <t>10.pdf</t>
  </si>
  <si>
    <t>11.pdf</t>
  </si>
  <si>
    <t>Text</t>
  </si>
  <si>
    <t>12.pdf</t>
  </si>
  <si>
    <t>13.pdf</t>
  </si>
  <si>
    <t>14.pdf</t>
  </si>
  <si>
    <t>15.pdf</t>
  </si>
  <si>
    <t>17.pdf</t>
  </si>
  <si>
    <t>2.pdf</t>
  </si>
  <si>
    <t>3.pdf</t>
  </si>
  <si>
    <t>4.pdf</t>
  </si>
  <si>
    <t>5.pdf</t>
  </si>
  <si>
    <t>6.pdf</t>
  </si>
  <si>
    <t>7.pdf</t>
  </si>
  <si>
    <t>8.pdf</t>
  </si>
  <si>
    <t>8198.pdf</t>
  </si>
  <si>
    <t>9.pdf</t>
  </si>
  <si>
    <t>ACT.pdf</t>
  </si>
  <si>
    <t>c.pdf</t>
  </si>
  <si>
    <t>ci.pdf</t>
  </si>
  <si>
    <t>Circuit breaker.pdf</t>
  </si>
  <si>
    <t>dgr.pdf</t>
  </si>
  <si>
    <t>drum.pdf</t>
  </si>
  <si>
    <t>e.pdf</t>
  </si>
  <si>
    <t>h.pdf</t>
  </si>
  <si>
    <t>hoist.pdf</t>
  </si>
  <si>
    <t>i-line.pdf</t>
  </si>
  <si>
    <t>reduced vol.pdf</t>
  </si>
  <si>
    <t>seimens.pdf</t>
  </si>
  <si>
    <t>synchronous.pdf</t>
  </si>
  <si>
    <t>typeki.odf.pdf</t>
  </si>
  <si>
    <t>TOTALS</t>
  </si>
  <si>
    <t>Document Count</t>
  </si>
  <si>
    <t>Scanned Count</t>
  </si>
  <si>
    <t>Text Count</t>
  </si>
  <si>
    <t>Docs with Alarm Table</t>
  </si>
  <si>
    <t>Phase 0 Targets</t>
  </si>
  <si>
    <t>Document count</t>
  </si>
  <si>
    <t>30+</t>
  </si>
  <si>
    <t>Total pages</t>
  </si>
  <si>
    <t>500+</t>
  </si>
  <si>
    <t>Mix of scanned + text</t>
  </si>
  <si>
    <t>Both represented</t>
  </si>
  <si>
    <t>Legend</t>
  </si>
  <si>
    <t>Green fill in Type column</t>
  </si>
  <si>
    <t>Text-based PDF (has native text layer)</t>
  </si>
  <si>
    <t>Orange fill in Type column</t>
  </si>
  <si>
    <t>Scanned PDF (needs OCR)</t>
  </si>
  <si>
    <t>Yellow fill columns</t>
  </si>
  <si>
    <t>Fill in manually — use Yes/No dropdown</t>
  </si>
  <si>
    <t>yes</t>
  </si>
  <si>
    <t>no</t>
  </si>
  <si>
    <t>No</t>
  </si>
  <si>
    <t>Yes</t>
  </si>
  <si>
    <t>360° Panorama Camera / PLC Viewer</t>
  </si>
  <si>
    <t>Circular Saw / Power Tool</t>
  </si>
  <si>
    <t xml:space="preserve">Electric Motor-Operated Change-Over </t>
  </si>
  <si>
    <t>Power/Insulated Case Circuit Breake</t>
  </si>
  <si>
    <t>DC Crane Control</t>
  </si>
  <si>
    <t>Hydraulic Pellet Press</t>
  </si>
  <si>
    <t>Digital Temperature Controller for Medium-Voltage Transformers –</t>
  </si>
  <si>
    <t xml:space="preserve">         Hydraulic Press – Dura Press Force </t>
  </si>
  <si>
    <t>Type CN-33 Network Master Relay</t>
  </si>
  <si>
    <t xml:space="preserve">                             Control Systems Relays </t>
  </si>
  <si>
    <t>Network Transformers / AC Secondary Network Systems</t>
  </si>
  <si>
    <t>3Com SuperStack II LAN / Ethernet Network Switches</t>
  </si>
  <si>
    <t xml:space="preserve"> Dry-Type Transformers </t>
  </si>
  <si>
    <t xml:space="preserve">	Pneumatic Timing Relays</t>
  </si>
  <si>
    <t>Class 8198 High Voltage Motor Starters</t>
  </si>
  <si>
    <t>Computer/Monitor Electrical System &amp; Hardware</t>
  </si>
  <si>
    <t>Oil-Immersed Instrument Transformers</t>
  </si>
  <si>
    <t>Ventilated Dry-Type Network Transformers</t>
  </si>
  <si>
    <t>Overload and Short-Circuit Protection / Circuit Breakers</t>
  </si>
  <si>
    <t>Directional Ground Relays</t>
  </si>
  <si>
    <t>Type A Drum Controllers</t>
  </si>
  <si>
    <t>Type SL Distribution Transformers</t>
  </si>
  <si>
    <t>limited</t>
  </si>
  <si>
    <t>Dry-Type Transformers</t>
  </si>
  <si>
    <t>Class 8965 Hoist Contactors</t>
  </si>
  <si>
    <t>I-LINE Power Panelboards / Circuit Breaker</t>
  </si>
  <si>
    <t>Reduced Voltage Motor Starters</t>
  </si>
  <si>
    <t>Synchronous Motor Starters / Motor Protection</t>
  </si>
  <si>
    <t xml:space="preserve">                     Type KI Interlocking Relays</t>
  </si>
  <si>
    <t xml:space="preserve">              Siemens 7VE51 Synchronising Unit</t>
  </si>
  <si>
    <t xml:space="preserve">   Transducers and Solid-State Relays / Protection &amp; Monitoring Relays</t>
  </si>
  <si>
    <t xml:space="preserve">                   CNC UC100 USB Motion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</si>
</sst>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D0D0D"/>
      <name val="Arial"/>
      <family val="2"/>
    </font>
    <font>
      <sz val="9"/>
      <color rgb="FF0D0D0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4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workbookViewId="0">
      <pane ySplit="1" topLeftCell="A2" activePane="bottomLeft" state="frozen"/>
      <selection pane="bottomLeft" activeCell="C3" sqref="C3"/>
    </sheetView>
  </sheetViews>
  <sheetFormatPr defaultColWidth="8.6328125" defaultRowHeight="14.5" x14ac:dyDescent="0.35"/>
  <cols>
    <col min="1" max="1" width="26" customWidth="1"/>
    <col min="2" max="2" width="8" customWidth="1"/>
    <col min="3" max="3" width="16" customWidth="1"/>
    <col min="4" max="4" width="12" customWidth="1"/>
    <col min="5" max="5" width="18" customWidth="1"/>
    <col min="6" max="7" width="16" customWidth="1"/>
    <col min="8" max="8" width="2" hidden="1" customWidth="1"/>
    <col min="9" max="9" width="54.90625" bestFit="1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3" t="s">
        <v>7</v>
      </c>
      <c r="I1" s="13" t="s">
        <v>7</v>
      </c>
    </row>
    <row r="2" spans="1:9" x14ac:dyDescent="0.35">
      <c r="A2" s="2" t="s">
        <v>8</v>
      </c>
      <c r="B2" s="3">
        <v>20</v>
      </c>
      <c r="C2" s="4" t="s">
        <v>9</v>
      </c>
      <c r="D2" s="5" t="s">
        <v>60</v>
      </c>
      <c r="E2" s="14" t="s">
        <v>62</v>
      </c>
      <c r="F2" s="14" t="s">
        <v>62</v>
      </c>
      <c r="G2" s="14" t="s">
        <v>63</v>
      </c>
      <c r="H2" s="5"/>
      <c r="I2" s="15" t="s">
        <v>64</v>
      </c>
    </row>
    <row r="3" spans="1:9" x14ac:dyDescent="0.35">
      <c r="A3" s="2" t="s">
        <v>10</v>
      </c>
      <c r="B3" s="3">
        <v>12</v>
      </c>
      <c r="C3" s="4" t="s">
        <v>9</v>
      </c>
      <c r="D3" s="5" t="s">
        <v>61</v>
      </c>
      <c r="E3" s="14" t="s">
        <v>62</v>
      </c>
      <c r="F3" s="14" t="s">
        <v>60</v>
      </c>
      <c r="G3" s="14" t="s">
        <v>61</v>
      </c>
      <c r="H3" s="5"/>
      <c r="I3" s="15" t="s">
        <v>72</v>
      </c>
    </row>
    <row r="4" spans="1:9" x14ac:dyDescent="0.35">
      <c r="A4" s="2" t="s">
        <v>11</v>
      </c>
      <c r="B4" s="3">
        <v>20</v>
      </c>
      <c r="C4" s="6" t="s">
        <v>12</v>
      </c>
      <c r="D4" s="5" t="s">
        <v>60</v>
      </c>
      <c r="E4" s="14" t="s">
        <v>60</v>
      </c>
      <c r="F4" s="14" t="s">
        <v>62</v>
      </c>
      <c r="G4" s="14" t="s">
        <v>63</v>
      </c>
      <c r="H4" s="5"/>
      <c r="I4" s="15" t="s">
        <v>74</v>
      </c>
    </row>
    <row r="5" spans="1:9" x14ac:dyDescent="0.35">
      <c r="A5" s="2" t="s">
        <v>13</v>
      </c>
      <c r="B5" s="3">
        <v>24</v>
      </c>
      <c r="C5" s="6" t="s">
        <v>12</v>
      </c>
      <c r="D5" s="5" t="s">
        <v>60</v>
      </c>
      <c r="E5" s="14" t="s">
        <v>60</v>
      </c>
      <c r="F5" s="14" t="s">
        <v>60</v>
      </c>
      <c r="G5" s="14" t="s">
        <v>63</v>
      </c>
      <c r="H5" s="5"/>
      <c r="I5" s="17" t="s">
        <v>94</v>
      </c>
    </row>
    <row r="6" spans="1:9" x14ac:dyDescent="0.35">
      <c r="A6" s="2" t="s">
        <v>14</v>
      </c>
      <c r="B6" s="3">
        <v>13</v>
      </c>
      <c r="C6" s="6" t="s">
        <v>12</v>
      </c>
      <c r="D6" s="5" t="s">
        <v>60</v>
      </c>
      <c r="E6" s="14" t="s">
        <v>60</v>
      </c>
      <c r="F6" s="14" t="s">
        <v>62</v>
      </c>
      <c r="G6" s="14" t="s">
        <v>63</v>
      </c>
      <c r="H6" s="5"/>
      <c r="I6" s="16" t="s">
        <v>95</v>
      </c>
    </row>
    <row r="7" spans="1:9" x14ac:dyDescent="0.35">
      <c r="A7" s="2" t="s">
        <v>15</v>
      </c>
      <c r="B7" s="3">
        <v>28</v>
      </c>
      <c r="C7" s="6" t="s">
        <v>12</v>
      </c>
      <c r="D7" s="5" t="s">
        <v>60</v>
      </c>
      <c r="E7" s="14" t="s">
        <v>62</v>
      </c>
      <c r="F7" s="14" t="s">
        <v>62</v>
      </c>
      <c r="G7" s="14" t="s">
        <v>63</v>
      </c>
      <c r="H7" s="5"/>
      <c r="I7" s="16" t="s">
        <v>75</v>
      </c>
    </row>
    <row r="8" spans="1:9" x14ac:dyDescent="0.35">
      <c r="A8" s="2" t="s">
        <v>16</v>
      </c>
      <c r="B8" s="3">
        <v>10</v>
      </c>
      <c r="C8" s="4" t="s">
        <v>9</v>
      </c>
      <c r="D8" s="5" t="s">
        <v>61</v>
      </c>
      <c r="E8" s="14" t="s">
        <v>62</v>
      </c>
      <c r="F8" s="14" t="s">
        <v>62</v>
      </c>
      <c r="G8" s="14" t="s">
        <v>63</v>
      </c>
      <c r="H8" s="5"/>
      <c r="I8" s="15" t="s">
        <v>76</v>
      </c>
    </row>
    <row r="9" spans="1:9" x14ac:dyDescent="0.35">
      <c r="A9" s="2" t="s">
        <v>17</v>
      </c>
      <c r="B9" s="3">
        <v>6</v>
      </c>
      <c r="C9" s="6" t="s">
        <v>12</v>
      </c>
      <c r="D9" s="5" t="s">
        <v>60</v>
      </c>
      <c r="E9" s="14" t="s">
        <v>62</v>
      </c>
      <c r="F9" s="14" t="s">
        <v>60</v>
      </c>
      <c r="G9" s="14" t="s">
        <v>63</v>
      </c>
      <c r="H9" s="5"/>
      <c r="I9" s="15" t="s">
        <v>77</v>
      </c>
    </row>
    <row r="10" spans="1:9" x14ac:dyDescent="0.35">
      <c r="A10" s="2" t="s">
        <v>18</v>
      </c>
      <c r="B10" s="3">
        <v>30</v>
      </c>
      <c r="C10" s="4" t="s">
        <v>9</v>
      </c>
      <c r="D10" s="5" t="s">
        <v>61</v>
      </c>
      <c r="E10" s="14" t="s">
        <v>61</v>
      </c>
      <c r="F10" s="14" t="s">
        <v>61</v>
      </c>
      <c r="G10" s="14" t="s">
        <v>60</v>
      </c>
      <c r="H10" s="5"/>
      <c r="I10" s="15" t="s">
        <v>65</v>
      </c>
    </row>
    <row r="11" spans="1:9" x14ac:dyDescent="0.35">
      <c r="A11" s="2" t="s">
        <v>19</v>
      </c>
      <c r="B11" s="3">
        <v>18</v>
      </c>
      <c r="C11" s="4" t="s">
        <v>9</v>
      </c>
      <c r="D11" s="5" t="s">
        <v>60</v>
      </c>
      <c r="E11" s="14" t="s">
        <v>60</v>
      </c>
      <c r="F11" s="14" t="s">
        <v>60</v>
      </c>
      <c r="G11" s="14" t="s">
        <v>60</v>
      </c>
      <c r="H11" s="5"/>
      <c r="I11" s="15" t="s">
        <v>66</v>
      </c>
    </row>
    <row r="12" spans="1:9" x14ac:dyDescent="0.35">
      <c r="A12" s="2" t="s">
        <v>20</v>
      </c>
      <c r="B12" s="3">
        <v>24</v>
      </c>
      <c r="C12" s="4" t="s">
        <v>9</v>
      </c>
      <c r="D12" s="5" t="s">
        <v>60</v>
      </c>
      <c r="E12" s="14" t="s">
        <v>60</v>
      </c>
      <c r="F12" s="14" t="s">
        <v>62</v>
      </c>
      <c r="G12" s="14" t="s">
        <v>63</v>
      </c>
      <c r="H12" s="5"/>
      <c r="I12" s="16" t="s">
        <v>71</v>
      </c>
    </row>
    <row r="13" spans="1:9" x14ac:dyDescent="0.35">
      <c r="A13" s="2" t="s">
        <v>21</v>
      </c>
      <c r="B13" s="3">
        <v>208</v>
      </c>
      <c r="C13" s="6" t="s">
        <v>12</v>
      </c>
      <c r="D13" s="5" t="s">
        <v>60</v>
      </c>
      <c r="E13" s="14" t="s">
        <v>60</v>
      </c>
      <c r="F13" s="14" t="s">
        <v>62</v>
      </c>
      <c r="G13" s="14" t="s">
        <v>63</v>
      </c>
      <c r="H13" s="5"/>
      <c r="I13" s="15" t="s">
        <v>67</v>
      </c>
    </row>
    <row r="14" spans="1:9" x14ac:dyDescent="0.35">
      <c r="A14" s="2" t="s">
        <v>22</v>
      </c>
      <c r="B14" s="3">
        <v>80</v>
      </c>
      <c r="C14" s="6" t="s">
        <v>12</v>
      </c>
      <c r="D14" s="5" t="s">
        <v>60</v>
      </c>
      <c r="E14" s="14" t="s">
        <v>62</v>
      </c>
      <c r="F14" s="14" t="s">
        <v>60</v>
      </c>
      <c r="G14" s="14" t="s">
        <v>63</v>
      </c>
      <c r="H14" s="5"/>
      <c r="I14" s="16" t="s">
        <v>73</v>
      </c>
    </row>
    <row r="15" spans="1:9" x14ac:dyDescent="0.35">
      <c r="A15" s="2" t="s">
        <v>23</v>
      </c>
      <c r="B15" s="3">
        <v>34</v>
      </c>
      <c r="C15" s="6" t="s">
        <v>12</v>
      </c>
      <c r="D15" s="5" t="s">
        <v>60</v>
      </c>
      <c r="E15" s="14" t="s">
        <v>62</v>
      </c>
      <c r="F15" s="14" t="s">
        <v>60</v>
      </c>
      <c r="G15" s="14" t="s">
        <v>63</v>
      </c>
      <c r="H15" s="5"/>
      <c r="I15" s="15" t="s">
        <v>68</v>
      </c>
    </row>
    <row r="16" spans="1:9" x14ac:dyDescent="0.35">
      <c r="A16" s="2" t="s">
        <v>24</v>
      </c>
      <c r="B16" s="3">
        <v>29</v>
      </c>
      <c r="C16" s="6" t="s">
        <v>12</v>
      </c>
      <c r="D16" s="5" t="s">
        <v>60</v>
      </c>
      <c r="E16" s="14" t="s">
        <v>60</v>
      </c>
      <c r="F16" s="14" t="s">
        <v>62</v>
      </c>
      <c r="G16" s="14" t="s">
        <v>63</v>
      </c>
      <c r="H16" s="5"/>
      <c r="I16" s="15" t="s">
        <v>69</v>
      </c>
    </row>
    <row r="17" spans="1:9" x14ac:dyDescent="0.35">
      <c r="A17" s="2" t="s">
        <v>25</v>
      </c>
      <c r="B17" s="3">
        <v>11</v>
      </c>
      <c r="C17" s="4" t="s">
        <v>9</v>
      </c>
      <c r="D17" s="5" t="s">
        <v>61</v>
      </c>
      <c r="E17" s="14" t="s">
        <v>60</v>
      </c>
      <c r="F17" s="14" t="s">
        <v>60</v>
      </c>
      <c r="G17" s="14" t="s">
        <v>63</v>
      </c>
      <c r="H17" s="5"/>
      <c r="I17" s="15" t="s">
        <v>78</v>
      </c>
    </row>
    <row r="18" spans="1:9" x14ac:dyDescent="0.35">
      <c r="A18" s="2" t="s">
        <v>26</v>
      </c>
      <c r="B18" s="3">
        <v>21</v>
      </c>
      <c r="C18" s="4" t="s">
        <v>9</v>
      </c>
      <c r="D18" s="5" t="s">
        <v>60</v>
      </c>
      <c r="E18" s="14" t="s">
        <v>60</v>
      </c>
      <c r="F18" s="14" t="s">
        <v>60</v>
      </c>
      <c r="G18" s="14" t="s">
        <v>63</v>
      </c>
      <c r="H18" s="5"/>
      <c r="I18" s="15" t="s">
        <v>70</v>
      </c>
    </row>
    <row r="19" spans="1:9" x14ac:dyDescent="0.35">
      <c r="A19" s="2" t="s">
        <v>27</v>
      </c>
      <c r="B19" s="3">
        <v>18</v>
      </c>
      <c r="C19" s="4" t="s">
        <v>9</v>
      </c>
      <c r="D19" s="5" t="s">
        <v>60</v>
      </c>
      <c r="E19" s="14" t="s">
        <v>62</v>
      </c>
      <c r="F19" s="14" t="s">
        <v>60</v>
      </c>
      <c r="G19" s="14" t="s">
        <v>63</v>
      </c>
      <c r="H19" s="5"/>
      <c r="I19" s="15" t="s">
        <v>79</v>
      </c>
    </row>
    <row r="20" spans="1:9" x14ac:dyDescent="0.35">
      <c r="A20" s="2" t="s">
        <v>28</v>
      </c>
      <c r="B20" s="3">
        <v>6</v>
      </c>
      <c r="C20" s="6" t="s">
        <v>12</v>
      </c>
      <c r="D20" s="5" t="s">
        <v>60</v>
      </c>
      <c r="E20" s="14" t="s">
        <v>60</v>
      </c>
      <c r="F20" s="14" t="s">
        <v>60</v>
      </c>
      <c r="G20" s="14" t="s">
        <v>63</v>
      </c>
      <c r="H20" s="5"/>
      <c r="I20" s="15" t="s">
        <v>80</v>
      </c>
    </row>
    <row r="21" spans="1:9" x14ac:dyDescent="0.35">
      <c r="A21" s="2" t="s">
        <v>29</v>
      </c>
      <c r="B21" s="3">
        <v>8</v>
      </c>
      <c r="C21" s="4" t="s">
        <v>9</v>
      </c>
      <c r="D21" s="5" t="s">
        <v>60</v>
      </c>
      <c r="E21" s="14" t="s">
        <v>60</v>
      </c>
      <c r="F21" s="14" t="s">
        <v>62</v>
      </c>
      <c r="G21" s="14" t="s">
        <v>63</v>
      </c>
      <c r="H21" s="5"/>
      <c r="I21" s="15" t="s">
        <v>81</v>
      </c>
    </row>
    <row r="22" spans="1:9" x14ac:dyDescent="0.35">
      <c r="A22" s="2" t="s">
        <v>30</v>
      </c>
      <c r="B22" s="3">
        <v>54</v>
      </c>
      <c r="C22" s="4" t="s">
        <v>9</v>
      </c>
      <c r="D22" s="12" t="s">
        <v>60</v>
      </c>
      <c r="E22" s="14" t="s">
        <v>60</v>
      </c>
      <c r="F22" s="14" t="s">
        <v>62</v>
      </c>
      <c r="G22" s="14" t="s">
        <v>63</v>
      </c>
      <c r="H22" s="5"/>
      <c r="I22" s="15" t="s">
        <v>82</v>
      </c>
    </row>
    <row r="23" spans="1:9" x14ac:dyDescent="0.35">
      <c r="A23" s="2" t="s">
        <v>31</v>
      </c>
      <c r="B23" s="3">
        <v>12</v>
      </c>
      <c r="C23" s="6" t="s">
        <v>12</v>
      </c>
      <c r="D23" s="5" t="s">
        <v>60</v>
      </c>
      <c r="E23" s="14" t="s">
        <v>60</v>
      </c>
      <c r="F23" s="14" t="s">
        <v>60</v>
      </c>
      <c r="G23" s="14" t="s">
        <v>63</v>
      </c>
      <c r="H23" s="5"/>
      <c r="I23" s="15" t="s">
        <v>83</v>
      </c>
    </row>
    <row r="24" spans="1:9" x14ac:dyDescent="0.35">
      <c r="A24" s="2" t="s">
        <v>32</v>
      </c>
      <c r="B24" s="3">
        <v>4</v>
      </c>
      <c r="C24" s="4" t="s">
        <v>9</v>
      </c>
      <c r="D24" s="5" t="s">
        <v>60</v>
      </c>
      <c r="E24" s="14" t="s">
        <v>60</v>
      </c>
      <c r="F24" s="14" t="s">
        <v>60</v>
      </c>
      <c r="G24" s="14" t="s">
        <v>63</v>
      </c>
      <c r="H24" s="5"/>
      <c r="I24" s="15" t="s">
        <v>84</v>
      </c>
    </row>
    <row r="25" spans="1:9" x14ac:dyDescent="0.35">
      <c r="A25" s="2" t="s">
        <v>33</v>
      </c>
      <c r="B25" s="3">
        <v>3</v>
      </c>
      <c r="C25" s="4" t="s">
        <v>9</v>
      </c>
      <c r="D25" s="5" t="s">
        <v>61</v>
      </c>
      <c r="E25" s="14" t="s">
        <v>60</v>
      </c>
      <c r="F25" s="14" t="s">
        <v>62</v>
      </c>
      <c r="G25" s="14" t="s">
        <v>63</v>
      </c>
      <c r="H25" s="5"/>
      <c r="I25" s="15" t="s">
        <v>85</v>
      </c>
    </row>
    <row r="26" spans="1:9" x14ac:dyDescent="0.35">
      <c r="A26" s="2" t="s">
        <v>34</v>
      </c>
      <c r="B26" s="3">
        <v>10</v>
      </c>
      <c r="C26" s="4" t="s">
        <v>9</v>
      </c>
      <c r="D26" s="5" t="s">
        <v>60</v>
      </c>
      <c r="E26" s="14" t="s">
        <v>60</v>
      </c>
      <c r="F26" s="14" t="s">
        <v>86</v>
      </c>
      <c r="G26" s="14" t="s">
        <v>63</v>
      </c>
      <c r="H26" s="5"/>
      <c r="I26" s="15" t="s">
        <v>87</v>
      </c>
    </row>
    <row r="27" spans="1:9" x14ac:dyDescent="0.35">
      <c r="A27" s="2" t="s">
        <v>35</v>
      </c>
      <c r="B27" s="3">
        <v>8</v>
      </c>
      <c r="C27" s="6" t="s">
        <v>12</v>
      </c>
      <c r="D27" s="5" t="s">
        <v>60</v>
      </c>
      <c r="E27" s="14" t="s">
        <v>60</v>
      </c>
      <c r="F27" s="14" t="s">
        <v>86</v>
      </c>
      <c r="G27" s="14" t="s">
        <v>60</v>
      </c>
      <c r="H27" s="5"/>
      <c r="I27" s="15" t="s">
        <v>88</v>
      </c>
    </row>
    <row r="28" spans="1:9" x14ac:dyDescent="0.35">
      <c r="A28" s="2" t="s">
        <v>36</v>
      </c>
      <c r="B28" s="3">
        <v>8</v>
      </c>
      <c r="C28" s="6" t="s">
        <v>12</v>
      </c>
      <c r="D28" s="5" t="s">
        <v>60</v>
      </c>
      <c r="E28" s="5" t="s">
        <v>62</v>
      </c>
      <c r="F28" s="5" t="s">
        <v>60</v>
      </c>
      <c r="G28" s="5" t="s">
        <v>63</v>
      </c>
      <c r="H28" s="5"/>
      <c r="I28" s="3" t="s">
        <v>89</v>
      </c>
    </row>
    <row r="29" spans="1:9" x14ac:dyDescent="0.35">
      <c r="A29" s="2" t="s">
        <v>37</v>
      </c>
      <c r="B29" s="3">
        <v>20</v>
      </c>
      <c r="C29" s="6" t="s">
        <v>12</v>
      </c>
      <c r="D29" s="5" t="s">
        <v>60</v>
      </c>
      <c r="E29" s="5" t="s">
        <v>62</v>
      </c>
      <c r="F29" s="5" t="s">
        <v>60</v>
      </c>
      <c r="G29" s="5" t="s">
        <v>63</v>
      </c>
      <c r="H29" s="5"/>
      <c r="I29" s="3" t="s">
        <v>90</v>
      </c>
    </row>
    <row r="30" spans="1:9" x14ac:dyDescent="0.35">
      <c r="A30" s="2" t="s">
        <v>38</v>
      </c>
      <c r="B30" s="3">
        <v>6</v>
      </c>
      <c r="C30" s="4" t="s">
        <v>9</v>
      </c>
      <c r="D30" s="5" t="s">
        <v>60</v>
      </c>
      <c r="E30" s="5" t="s">
        <v>60</v>
      </c>
      <c r="F30" s="5" t="s">
        <v>60</v>
      </c>
      <c r="G30" s="5" t="s">
        <v>63</v>
      </c>
      <c r="H30" s="5"/>
      <c r="I30" s="16" t="s">
        <v>93</v>
      </c>
    </row>
    <row r="31" spans="1:9" x14ac:dyDescent="0.35">
      <c r="A31" s="2" t="s">
        <v>39</v>
      </c>
      <c r="B31" s="3">
        <v>8</v>
      </c>
      <c r="C31" s="6" t="s">
        <v>12</v>
      </c>
      <c r="D31" s="5" t="s">
        <v>60</v>
      </c>
      <c r="E31" s="14" t="s">
        <v>60</v>
      </c>
      <c r="F31" s="14" t="s">
        <v>60</v>
      </c>
      <c r="G31" s="14" t="s">
        <v>63</v>
      </c>
      <c r="H31" s="5"/>
      <c r="I31" s="15" t="s">
        <v>91</v>
      </c>
    </row>
    <row r="32" spans="1:9" x14ac:dyDescent="0.35">
      <c r="A32" s="2" t="s">
        <v>40</v>
      </c>
      <c r="B32" s="3">
        <v>2</v>
      </c>
      <c r="C32" s="4" t="s">
        <v>9</v>
      </c>
      <c r="D32" s="5" t="s">
        <v>60</v>
      </c>
      <c r="E32" s="14" t="s">
        <v>62</v>
      </c>
      <c r="F32" s="14" t="s">
        <v>62</v>
      </c>
      <c r="G32" s="14" t="s">
        <v>63</v>
      </c>
      <c r="H32" s="5"/>
      <c r="I32" s="16" t="s">
        <v>92</v>
      </c>
    </row>
    <row r="34" spans="1:2" x14ac:dyDescent="0.35">
      <c r="A34" s="7" t="s">
        <v>41</v>
      </c>
      <c r="B34" s="8">
        <f>SUM(B2:B32)</f>
        <v>755</v>
      </c>
    </row>
    <row r="35" spans="1:2" x14ac:dyDescent="0.35">
      <c r="A35" s="9" t="s">
        <v>42</v>
      </c>
      <c r="B35" s="10">
        <f>COUNTA(A2:A32)</f>
        <v>31</v>
      </c>
    </row>
    <row r="36" spans="1:2" x14ac:dyDescent="0.35">
      <c r="A36" s="9" t="s">
        <v>43</v>
      </c>
      <c r="B36" s="10">
        <f>COUNTIF(C2:C32,"Scanned")</f>
        <v>16</v>
      </c>
    </row>
    <row r="37" spans="1:2" x14ac:dyDescent="0.35">
      <c r="A37" s="9" t="s">
        <v>44</v>
      </c>
      <c r="B37" s="10">
        <f>COUNTIF(C2:C32,"Text")</f>
        <v>15</v>
      </c>
    </row>
    <row r="38" spans="1:2" x14ac:dyDescent="0.35">
      <c r="A38" s="9" t="s">
        <v>45</v>
      </c>
      <c r="B38" s="10">
        <f>COUNTIF(E2:E32,"Yes")</f>
        <v>19</v>
      </c>
    </row>
  </sheetData>
  <dataValidations count="1">
    <dataValidation type="list" allowBlank="1" sqref="D23 E22:G23 D24:G32 D2:G21 H2:H32" xr:uid="{00000000-0002-0000-00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Normal="100" workbookViewId="0"/>
  </sheetViews>
  <sheetFormatPr defaultColWidth="8.6328125" defaultRowHeight="14.5" x14ac:dyDescent="0.35"/>
  <cols>
    <col min="1" max="1" width="32" customWidth="1"/>
    <col min="2" max="2" width="45" customWidth="1"/>
  </cols>
  <sheetData>
    <row r="1" spans="1:2" ht="15.5" x14ac:dyDescent="0.35">
      <c r="A1" s="11" t="s">
        <v>46</v>
      </c>
    </row>
    <row r="3" spans="1:2" x14ac:dyDescent="0.35">
      <c r="A3" s="7" t="s">
        <v>47</v>
      </c>
      <c r="B3" s="9" t="s">
        <v>48</v>
      </c>
    </row>
    <row r="4" spans="1:2" x14ac:dyDescent="0.35">
      <c r="A4" s="7" t="s">
        <v>49</v>
      </c>
      <c r="B4" s="9" t="s">
        <v>50</v>
      </c>
    </row>
    <row r="5" spans="1:2" x14ac:dyDescent="0.35">
      <c r="A5" s="7" t="s">
        <v>51</v>
      </c>
      <c r="B5" s="9" t="s">
        <v>52</v>
      </c>
    </row>
    <row r="7" spans="1:2" ht="15.5" x14ac:dyDescent="0.35">
      <c r="A7" s="11" t="s">
        <v>53</v>
      </c>
    </row>
    <row r="8" spans="1:2" x14ac:dyDescent="0.35">
      <c r="A8" s="9" t="s">
        <v>54</v>
      </c>
      <c r="B8" s="9" t="s">
        <v>55</v>
      </c>
    </row>
    <row r="9" spans="1:2" x14ac:dyDescent="0.35">
      <c r="A9" s="9" t="s">
        <v>56</v>
      </c>
      <c r="B9" s="9" t="s">
        <v>57</v>
      </c>
    </row>
    <row r="10" spans="1:2" x14ac:dyDescent="0.35">
      <c r="A10" s="9" t="s">
        <v>58</v>
      </c>
      <c r="B10" s="9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 Tracker</vt:lpstr>
      <vt:lpstr>Targets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Deekshita Saravanan</cp:lastModifiedBy>
  <cp:revision>0</cp:revision>
  <dcterms:created xsi:type="dcterms:W3CDTF">2026-08-12T16:51:43Z</dcterms:created>
  <dcterms:modified xsi:type="dcterms:W3CDTF">2026-08-13T04:47:54Z</dcterms:modified>
  <dc:language>en-US</dc:language>
</cp:coreProperties>
</file>